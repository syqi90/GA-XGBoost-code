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论文修改\Spaceweather 修改\"/>
    </mc:Choice>
  </mc:AlternateContent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<sst xmlns="http://schemas.openxmlformats.org/spreadsheetml/2006/main" count="140" uniqueCount="65">
  <si>
    <t>Category</t>
  </si>
  <si>
    <t>Date</t>
  </si>
  <si>
    <t>2DT</t>
  </si>
  <si>
    <t>4DT</t>
  </si>
  <si>
    <t>Class</t>
  </si>
  <si>
    <t>Flare Magnitude</t>
  </si>
  <si>
    <t>LON</t>
  </si>
  <si>
    <t>CLASS</t>
  </si>
  <si>
    <t>CPA</t>
  </si>
  <si>
    <t>W</t>
  </si>
  <si>
    <t>S</t>
  </si>
  <si>
    <t>2End Freq</t>
  </si>
  <si>
    <t>F10.7obs</t>
  </si>
  <si>
    <t>EVENT TYPE</t>
  </si>
  <si>
    <t>SHINE</t>
  </si>
  <si>
    <t>X5.4</t>
  </si>
  <si>
    <t>X1.3</t>
  </si>
  <si>
    <t>M5.1</t>
  </si>
  <si>
    <t>X1.4</t>
  </si>
  <si>
    <t>M6.5</t>
  </si>
  <si>
    <t>X1.2</t>
  </si>
  <si>
    <t>M2.4</t>
  </si>
  <si>
    <t>M5.5</t>
  </si>
  <si>
    <t>X9.3</t>
  </si>
  <si>
    <t>X8.2</t>
  </si>
  <si>
    <t>SC25</t>
  </si>
  <si>
    <t>C9.4</t>
  </si>
  <si>
    <t>X1.0</t>
  </si>
  <si>
    <t>M4.0</t>
  </si>
  <si>
    <t>M3.9</t>
  </si>
  <si>
    <t>M4.8</t>
  </si>
  <si>
    <t>M6.3</t>
  </si>
  <si>
    <t>SC24</t>
  </si>
  <si>
    <t>M3.7</t>
  </si>
  <si>
    <t>M2.5</t>
  </si>
  <si>
    <t>M9.3</t>
  </si>
  <si>
    <t>X6.9</t>
  </si>
  <si>
    <t>M8.7</t>
  </si>
  <si>
    <t>X1.8</t>
  </si>
  <si>
    <t>M7.9</t>
  </si>
  <si>
    <t>X1.1</t>
  </si>
  <si>
    <t>C3.7</t>
  </si>
  <si>
    <t>M5.0</t>
  </si>
  <si>
    <t>C1.2</t>
  </si>
  <si>
    <t>X4.9</t>
  </si>
  <si>
    <t>M7.3</t>
  </si>
  <si>
    <t>X1.6</t>
  </si>
  <si>
    <t>M1.2</t>
  </si>
  <si>
    <t>M5.9</t>
  </si>
  <si>
    <t>M1.5</t>
  </si>
  <si>
    <t>M5.4</t>
  </si>
  <si>
    <t>M6.9</t>
  </si>
  <si>
    <t>M5.8</t>
  </si>
  <si>
    <t>M7.6</t>
  </si>
  <si>
    <t>M1.6</t>
  </si>
  <si>
    <t>X2.2</t>
  </si>
  <si>
    <t>M1.3</t>
  </si>
  <si>
    <t>M2.0</t>
  </si>
  <si>
    <t>M3.8</t>
  </si>
  <si>
    <t>M2.1</t>
  </si>
  <si>
    <t>M1.0</t>
  </si>
  <si>
    <t>M5.2</t>
  </si>
  <si>
    <t>C5.4</t>
  </si>
  <si>
    <t>M2.2</t>
  </si>
  <si>
    <t>C4.4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</si>
</sst>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8"/>
        <bgColor rgb="FFFFF2CC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8"/>
        <bgColor rgb="FFFFF2CC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05"/>
        <bgColor rgb="FFFFF2CC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 tint="0.8"/>
        <bgColor rgb="FFC9DAF8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5" borderId="4" applyNumberFormat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13" fillId="16" borderId="4" applyNumberFormat="0" applyAlignment="0" applyProtection="0">
      <alignment vertical="center"/>
    </xf>
    <xf numFmtId="0" fontId="14" fillId="1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6" fontId="1" fillId="3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1" fontId="1" fillId="4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1" fillId="5" borderId="0" xfId="0" applyFont="1" applyFill="1">
      <alignment vertical="center"/>
    </xf>
    <xf numFmtId="0" fontId="1" fillId="6" borderId="0" xfId="0" applyFont="1" applyFill="1" applyAlignment="1">
      <alignment horizontal="center" vertical="center"/>
    </xf>
    <xf numFmtId="176" fontId="1" fillId="6" borderId="0" xfId="0" applyNumberFormat="1" applyFont="1" applyFill="1" applyAlignment="1">
      <alignment horizontal="center"/>
    </xf>
    <xf numFmtId="0" fontId="1" fillId="7" borderId="0" xfId="0" applyFont="1" applyFill="1" applyAlignment="1">
      <alignment horizontal="center"/>
    </xf>
    <xf numFmtId="11" fontId="1" fillId="7" borderId="0" xfId="0" applyNumberFormat="1" applyFont="1" applyFill="1" applyAlignment="1">
      <alignment horizontal="center"/>
    </xf>
    <xf numFmtId="0" fontId="1" fillId="6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8" borderId="0" xfId="0" applyFont="1" applyFill="1" applyAlignment="1">
      <alignment horizontal="center" vertical="center"/>
    </xf>
    <xf numFmtId="176" fontId="1" fillId="8" borderId="0" xfId="0" applyNumberFormat="1" applyFont="1" applyFill="1" applyAlignment="1">
      <alignment horizontal="center"/>
    </xf>
    <xf numFmtId="0" fontId="1" fillId="9" borderId="0" xfId="0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0" fontId="1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176" fontId="1" fillId="4" borderId="0" xfId="0" applyNumberFormat="1" applyFont="1" applyFill="1" applyAlignment="1">
      <alignment horizontal="center"/>
    </xf>
    <xf numFmtId="0" fontId="1" fillId="3" borderId="0" xfId="0" applyFont="1" applyFill="1">
      <alignment vertical="center"/>
    </xf>
    <xf numFmtId="0" fontId="1" fillId="12" borderId="0" xfId="0" applyFont="1" applyFill="1" applyAlignment="1">
      <alignment horizontal="center"/>
    </xf>
    <xf numFmtId="176" fontId="1" fillId="12" borderId="0" xfId="0" applyNumberFormat="1" applyFont="1" applyFill="1" applyAlignment="1">
      <alignment horizontal="center"/>
    </xf>
    <xf numFmtId="11" fontId="1" fillId="12" borderId="0" xfId="0" applyNumberFormat="1" applyFont="1" applyFill="1" applyAlignment="1">
      <alignment horizontal="center"/>
    </xf>
    <xf numFmtId="0" fontId="1" fillId="13" borderId="0" xfId="0" applyFont="1" applyFill="1">
      <alignment vertical="center"/>
    </xf>
    <xf numFmtId="0" fontId="1" fillId="8" borderId="0" xfId="0" applyFont="1" applyFill="1" applyAlignment="1">
      <alignment horizontal="center"/>
    </xf>
    <xf numFmtId="11" fontId="1" fillId="8" borderId="0" xfId="0" applyNumberFormat="1" applyFont="1" applyFill="1" applyAlignment="1">
      <alignment horizontal="center"/>
    </xf>
    <xf numFmtId="0" fontId="1" fillId="11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5"/>
  <sheetViews>
    <sheetView tabSelected="1" topLeftCell="A40" workbookViewId="0">
      <selection activeCell="H67" sqref="H67"/>
    </sheetView>
  </sheetViews>
  <sheetFormatPr defaultColWidth="8.88888888888889" defaultRowHeight="15.6"/>
  <cols>
    <col min="1" max="1" width="8.88888888888889" style="2"/>
    <col min="2" max="4" width="17.5555555555556" style="2" customWidth="1"/>
    <col min="5" max="5" width="10" style="2"/>
    <col min="6" max="6" width="15.3333333333333" style="2" customWidth="1"/>
    <col min="7" max="7" width="10" style="2"/>
    <col min="8" max="8" width="15.5555555555556" style="2"/>
    <col min="9" max="9" width="10" style="2"/>
    <col min="10" max="10" width="16.6666666666667" style="2" customWidth="1"/>
    <col min="11" max="11" width="16.1111111111111" style="2" customWidth="1"/>
    <col min="12" max="12" width="16.6666666666667" style="2" customWidth="1"/>
    <col min="13" max="16384" width="8.88888888888889" style="2"/>
  </cols>
  <sheetData>
    <row r="1" s="1" customForma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</v>
      </c>
      <c r="N1" s="1" t="s">
        <v>12</v>
      </c>
      <c r="O1" s="1" t="s">
        <v>13</v>
      </c>
    </row>
    <row r="2" spans="1:15">
      <c r="A2" s="3" t="s">
        <v>14</v>
      </c>
      <c r="B2" s="4">
        <v>40975</v>
      </c>
      <c r="C2" s="3">
        <v>2520</v>
      </c>
      <c r="D2" s="3">
        <v>0</v>
      </c>
      <c r="E2" s="5" t="s">
        <v>15</v>
      </c>
      <c r="F2" s="6">
        <v>0.00054</v>
      </c>
      <c r="G2" s="3">
        <v>-15</v>
      </c>
      <c r="H2" s="3">
        <f>LOG10(F2)</f>
        <v>-3.26760624017703</v>
      </c>
      <c r="I2" s="7">
        <v>360</v>
      </c>
      <c r="J2" s="3">
        <v>360</v>
      </c>
      <c r="K2" s="3">
        <v>2809</v>
      </c>
      <c r="L2" s="3">
        <v>3e-5</v>
      </c>
      <c r="M2" s="8">
        <v>0</v>
      </c>
      <c r="N2" s="3">
        <v>135.7</v>
      </c>
      <c r="O2" s="3">
        <v>1</v>
      </c>
    </row>
    <row r="3" spans="1:15">
      <c r="A3" s="3" t="s">
        <v>14</v>
      </c>
      <c r="B3" s="4">
        <v>40975</v>
      </c>
      <c r="C3" s="3">
        <v>1105</v>
      </c>
      <c r="D3" s="3">
        <v>0</v>
      </c>
      <c r="E3" s="5" t="s">
        <v>16</v>
      </c>
      <c r="F3" s="6">
        <v>0.00013</v>
      </c>
      <c r="G3" s="3">
        <v>-27</v>
      </c>
      <c r="H3" s="3">
        <f t="shared" ref="H3:H34" si="0">LOG10(F3)</f>
        <v>-3.88605664769316</v>
      </c>
      <c r="I3" s="7">
        <v>360</v>
      </c>
      <c r="J3" s="3">
        <v>360</v>
      </c>
      <c r="K3" s="3">
        <v>2040</v>
      </c>
      <c r="L3" s="3">
        <v>0.03</v>
      </c>
      <c r="M3" s="8">
        <v>0</v>
      </c>
      <c r="N3" s="3">
        <v>147.2</v>
      </c>
      <c r="O3" s="3">
        <v>1</v>
      </c>
    </row>
    <row r="4" spans="1:15">
      <c r="A4" s="3" t="s">
        <v>14</v>
      </c>
      <c r="B4" s="4">
        <v>41046</v>
      </c>
      <c r="C4" s="3">
        <v>0</v>
      </c>
      <c r="D4" s="3">
        <v>155</v>
      </c>
      <c r="E4" s="5" t="s">
        <v>17</v>
      </c>
      <c r="F4" s="6">
        <v>5.1e-5</v>
      </c>
      <c r="G4" s="3">
        <v>89</v>
      </c>
      <c r="H4" s="3">
        <f t="shared" si="0"/>
        <v>-4.29242982390206</v>
      </c>
      <c r="I4" s="7">
        <v>360</v>
      </c>
      <c r="J4" s="3">
        <v>360</v>
      </c>
      <c r="K4" s="3">
        <v>1263</v>
      </c>
      <c r="L4" s="3">
        <v>0.3</v>
      </c>
      <c r="M4" s="9">
        <v>0.00013</v>
      </c>
      <c r="N4" s="3">
        <v>129.6</v>
      </c>
      <c r="O4" s="3">
        <v>1</v>
      </c>
    </row>
    <row r="5" spans="1:15">
      <c r="A5" s="3" t="s">
        <v>14</v>
      </c>
      <c r="B5" s="4">
        <v>41102</v>
      </c>
      <c r="C5" s="3">
        <v>975</v>
      </c>
      <c r="D5" s="3">
        <v>0</v>
      </c>
      <c r="E5" s="5" t="s">
        <v>18</v>
      </c>
      <c r="F5" s="6">
        <v>0.00014</v>
      </c>
      <c r="G5" s="3">
        <v>2</v>
      </c>
      <c r="H5" s="3">
        <f t="shared" si="0"/>
        <v>-3.85387196432176</v>
      </c>
      <c r="I5" s="7">
        <v>360</v>
      </c>
      <c r="J5" s="3">
        <v>360</v>
      </c>
      <c r="K5" s="3">
        <v>1400</v>
      </c>
      <c r="L5" s="3">
        <v>0.00025</v>
      </c>
      <c r="M5" s="10">
        <v>0</v>
      </c>
      <c r="N5" s="3">
        <v>165.4</v>
      </c>
      <c r="O5" s="3">
        <v>1</v>
      </c>
    </row>
    <row r="6" spans="1:15">
      <c r="A6" s="3" t="s">
        <v>14</v>
      </c>
      <c r="B6" s="4">
        <v>41375</v>
      </c>
      <c r="C6" s="3">
        <v>470</v>
      </c>
      <c r="D6" s="3">
        <v>0</v>
      </c>
      <c r="E6" s="5" t="s">
        <v>19</v>
      </c>
      <c r="F6" s="6">
        <v>6.5e-5</v>
      </c>
      <c r="G6" s="3">
        <v>-12</v>
      </c>
      <c r="H6" s="3">
        <f t="shared" si="0"/>
        <v>-4.18708664335714</v>
      </c>
      <c r="I6" s="7">
        <v>360</v>
      </c>
      <c r="J6" s="3">
        <v>360</v>
      </c>
      <c r="K6" s="3">
        <v>743</v>
      </c>
      <c r="L6" s="3">
        <v>0.0002</v>
      </c>
      <c r="M6" s="8">
        <v>0</v>
      </c>
      <c r="N6" s="3">
        <v>137.1</v>
      </c>
      <c r="O6" s="3">
        <v>1</v>
      </c>
    </row>
    <row r="7" spans="1:15">
      <c r="A7" s="3" t="s">
        <v>14</v>
      </c>
      <c r="B7" s="4">
        <v>41645</v>
      </c>
      <c r="C7" s="3">
        <v>465</v>
      </c>
      <c r="D7" s="3">
        <v>94</v>
      </c>
      <c r="E7" s="5"/>
      <c r="F7" s="6"/>
      <c r="G7" s="3"/>
      <c r="H7" s="3"/>
      <c r="I7" s="7">
        <v>360</v>
      </c>
      <c r="J7" s="3">
        <v>360</v>
      </c>
      <c r="K7" s="3">
        <v>1138</v>
      </c>
      <c r="L7" s="3">
        <v>0.08</v>
      </c>
      <c r="M7" s="9">
        <v>0.0071</v>
      </c>
      <c r="N7" s="3">
        <v>160.3</v>
      </c>
      <c r="O7" s="3">
        <v>1</v>
      </c>
    </row>
    <row r="8" spans="1:15">
      <c r="A8" s="3" t="s">
        <v>14</v>
      </c>
      <c r="B8" s="4">
        <v>41646</v>
      </c>
      <c r="C8" s="3">
        <v>1593</v>
      </c>
      <c r="D8" s="3">
        <v>0</v>
      </c>
      <c r="E8" s="5" t="s">
        <v>20</v>
      </c>
      <c r="F8" s="6">
        <v>0.00012</v>
      </c>
      <c r="G8" s="3">
        <v>11</v>
      </c>
      <c r="H8" s="3">
        <f t="shared" si="0"/>
        <v>-3.92081875395238</v>
      </c>
      <c r="I8" s="7">
        <v>360</v>
      </c>
      <c r="J8" s="3">
        <v>360</v>
      </c>
      <c r="K8" s="3">
        <v>2048</v>
      </c>
      <c r="L8" s="3">
        <v>6e-5</v>
      </c>
      <c r="M8" s="9">
        <v>0.0098</v>
      </c>
      <c r="N8" s="3">
        <v>237.1</v>
      </c>
      <c r="O8" s="3">
        <v>1</v>
      </c>
    </row>
    <row r="9" spans="1:15">
      <c r="A9" s="3" t="s">
        <v>14</v>
      </c>
      <c r="B9" s="4">
        <v>42930</v>
      </c>
      <c r="C9" s="3">
        <v>1212</v>
      </c>
      <c r="D9" s="3">
        <v>0</v>
      </c>
      <c r="E9" s="5" t="s">
        <v>21</v>
      </c>
      <c r="F9" s="6">
        <v>2.4e-5</v>
      </c>
      <c r="G9" s="3">
        <v>33</v>
      </c>
      <c r="H9" s="3">
        <f t="shared" si="0"/>
        <v>-4.61978875828839</v>
      </c>
      <c r="I9" s="7">
        <v>360</v>
      </c>
      <c r="J9" s="3">
        <v>360</v>
      </c>
      <c r="K9" s="3">
        <v>750</v>
      </c>
      <c r="L9" s="3">
        <v>7e-5</v>
      </c>
      <c r="M9" s="8">
        <v>0</v>
      </c>
      <c r="N9" s="3">
        <v>93.9</v>
      </c>
      <c r="O9" s="3">
        <v>1</v>
      </c>
    </row>
    <row r="10" spans="1:15">
      <c r="A10" s="3" t="s">
        <v>14</v>
      </c>
      <c r="B10" s="4">
        <v>42982</v>
      </c>
      <c r="C10" s="3">
        <v>1250</v>
      </c>
      <c r="D10" s="3">
        <v>0</v>
      </c>
      <c r="E10" s="5" t="s">
        <v>22</v>
      </c>
      <c r="F10" s="6">
        <v>5.5e-5</v>
      </c>
      <c r="G10" s="3">
        <v>16</v>
      </c>
      <c r="H10" s="3">
        <f t="shared" si="0"/>
        <v>-4.25963731050576</v>
      </c>
      <c r="I10" s="7">
        <v>360</v>
      </c>
      <c r="J10" s="3">
        <v>360</v>
      </c>
      <c r="K10" s="3">
        <v>1323</v>
      </c>
      <c r="L10" s="3">
        <v>0.21</v>
      </c>
      <c r="M10" s="8">
        <v>0</v>
      </c>
      <c r="N10" s="3">
        <v>170.2</v>
      </c>
      <c r="O10" s="3">
        <v>1</v>
      </c>
    </row>
    <row r="11" spans="1:15">
      <c r="A11" s="3" t="s">
        <v>14</v>
      </c>
      <c r="B11" s="4">
        <v>42984</v>
      </c>
      <c r="C11" s="3">
        <v>1195</v>
      </c>
      <c r="D11" s="3">
        <v>0</v>
      </c>
      <c r="E11" s="5" t="s">
        <v>23</v>
      </c>
      <c r="F11" s="6">
        <v>0.00093</v>
      </c>
      <c r="G11" s="3">
        <v>34</v>
      </c>
      <c r="H11" s="3">
        <f t="shared" si="0"/>
        <v>-3.03151705144606</v>
      </c>
      <c r="I11" s="7">
        <v>360</v>
      </c>
      <c r="J11" s="3">
        <v>360</v>
      </c>
      <c r="K11" s="3">
        <v>1636</v>
      </c>
      <c r="L11" s="3">
        <v>0.07</v>
      </c>
      <c r="M11" s="8">
        <v>0</v>
      </c>
      <c r="N11" s="3">
        <v>159.9</v>
      </c>
      <c r="O11" s="3">
        <v>1</v>
      </c>
    </row>
    <row r="12" spans="1:15">
      <c r="A12" s="3" t="s">
        <v>14</v>
      </c>
      <c r="B12" s="4">
        <v>42988</v>
      </c>
      <c r="C12" s="3">
        <v>888</v>
      </c>
      <c r="D12" s="3">
        <v>0</v>
      </c>
      <c r="E12" s="5" t="s">
        <v>24</v>
      </c>
      <c r="F12" s="6">
        <v>0.00082</v>
      </c>
      <c r="G12" s="3">
        <v>88</v>
      </c>
      <c r="H12" s="3">
        <f t="shared" si="0"/>
        <v>-3.08618614761628</v>
      </c>
      <c r="I12" s="7">
        <v>360</v>
      </c>
      <c r="J12" s="3">
        <v>360</v>
      </c>
      <c r="K12" s="3">
        <v>2314</v>
      </c>
      <c r="L12" s="3">
        <v>0.00015</v>
      </c>
      <c r="M12" s="8">
        <v>0</v>
      </c>
      <c r="N12" s="3">
        <v>100.2</v>
      </c>
      <c r="O12" s="3">
        <v>1</v>
      </c>
    </row>
    <row r="13" spans="1:15">
      <c r="A13" s="11" t="s">
        <v>25</v>
      </c>
      <c r="B13" s="12">
        <v>44345</v>
      </c>
      <c r="C13" s="11">
        <v>195</v>
      </c>
      <c r="D13" s="11">
        <v>0</v>
      </c>
      <c r="E13" s="13" t="s">
        <v>26</v>
      </c>
      <c r="F13" s="14">
        <v>9.4e-6</v>
      </c>
      <c r="G13" s="11">
        <v>68</v>
      </c>
      <c r="H13" s="11">
        <f t="shared" si="0"/>
        <v>-5.0268721464003</v>
      </c>
      <c r="I13" s="11">
        <v>90</v>
      </c>
      <c r="J13" s="11">
        <v>197</v>
      </c>
      <c r="K13" s="11">
        <v>949</v>
      </c>
      <c r="L13" s="11">
        <v>0.12</v>
      </c>
      <c r="M13" s="15">
        <v>0</v>
      </c>
      <c r="N13" s="11">
        <v>219</v>
      </c>
      <c r="O13" s="11">
        <v>1</v>
      </c>
    </row>
    <row r="14" spans="1:15">
      <c r="A14" s="11" t="s">
        <v>25</v>
      </c>
      <c r="B14" s="12">
        <v>44497</v>
      </c>
      <c r="C14" s="11">
        <v>645</v>
      </c>
      <c r="D14" s="11">
        <v>0</v>
      </c>
      <c r="E14" s="13" t="s">
        <v>27</v>
      </c>
      <c r="F14" s="14">
        <v>0.0001</v>
      </c>
      <c r="G14" s="11">
        <v>4</v>
      </c>
      <c r="H14" s="11">
        <f t="shared" si="0"/>
        <v>-4</v>
      </c>
      <c r="I14" s="11">
        <v>360</v>
      </c>
      <c r="J14" s="11">
        <v>360</v>
      </c>
      <c r="K14" s="11">
        <v>1109</v>
      </c>
      <c r="L14" s="11">
        <v>0.5</v>
      </c>
      <c r="M14" s="15">
        <v>0</v>
      </c>
      <c r="N14" s="11">
        <v>214.9</v>
      </c>
      <c r="O14" s="11">
        <v>1</v>
      </c>
    </row>
    <row r="15" spans="1:15">
      <c r="A15" s="11" t="s">
        <v>25</v>
      </c>
      <c r="B15" s="12">
        <v>44581</v>
      </c>
      <c r="C15" s="11">
        <v>230</v>
      </c>
      <c r="D15" s="11">
        <v>0</v>
      </c>
      <c r="E15" s="13" t="s">
        <v>22</v>
      </c>
      <c r="F15" s="14">
        <v>5.5e-5</v>
      </c>
      <c r="G15" s="11">
        <v>76</v>
      </c>
      <c r="H15" s="11">
        <f t="shared" si="0"/>
        <v>-4.25963731050576</v>
      </c>
      <c r="I15" s="11">
        <v>270</v>
      </c>
      <c r="J15" s="11">
        <v>211</v>
      </c>
      <c r="K15" s="11">
        <v>1426</v>
      </c>
      <c r="L15" s="11">
        <v>2.2</v>
      </c>
      <c r="M15" s="15">
        <v>0</v>
      </c>
      <c r="N15" s="11">
        <v>177.8</v>
      </c>
      <c r="O15" s="11">
        <v>1</v>
      </c>
    </row>
    <row r="16" spans="1:15">
      <c r="A16" s="11" t="s">
        <v>25</v>
      </c>
      <c r="B16" s="12">
        <v>44648</v>
      </c>
      <c r="C16" s="11">
        <v>185</v>
      </c>
      <c r="D16" s="11">
        <v>0</v>
      </c>
      <c r="E16" s="13" t="s">
        <v>28</v>
      </c>
      <c r="F16" s="14">
        <v>4e-5</v>
      </c>
      <c r="G16" s="11">
        <v>1</v>
      </c>
      <c r="H16" s="11">
        <f t="shared" si="0"/>
        <v>-4.39794000867204</v>
      </c>
      <c r="I16" s="11">
        <v>360</v>
      </c>
      <c r="J16" s="11">
        <v>360</v>
      </c>
      <c r="K16" s="11">
        <v>662</v>
      </c>
      <c r="L16" s="11"/>
      <c r="M16" s="15">
        <v>0</v>
      </c>
      <c r="N16" s="11">
        <v>205.1</v>
      </c>
      <c r="O16" s="11">
        <v>1</v>
      </c>
    </row>
    <row r="17" spans="1:15">
      <c r="A17" s="11" t="s">
        <v>25</v>
      </c>
      <c r="B17" s="12">
        <v>44653</v>
      </c>
      <c r="C17" s="11">
        <v>130</v>
      </c>
      <c r="D17" s="11">
        <v>0</v>
      </c>
      <c r="E17" s="13" t="s">
        <v>29</v>
      </c>
      <c r="F17" s="14">
        <v>3.9e-5</v>
      </c>
      <c r="G17" s="11">
        <v>61</v>
      </c>
      <c r="H17" s="11">
        <f t="shared" si="0"/>
        <v>-4.4089353929735</v>
      </c>
      <c r="I17" s="11">
        <v>360</v>
      </c>
      <c r="J17" s="11">
        <v>360</v>
      </c>
      <c r="K17" s="11">
        <v>1370</v>
      </c>
      <c r="L17" s="11">
        <v>0.7</v>
      </c>
      <c r="M17" s="15">
        <v>0</v>
      </c>
      <c r="N17" s="11">
        <v>208.8</v>
      </c>
      <c r="O17" s="11">
        <v>1</v>
      </c>
    </row>
    <row r="18" spans="1:15">
      <c r="A18" s="11" t="s">
        <v>25</v>
      </c>
      <c r="B18" s="12">
        <v>44800</v>
      </c>
      <c r="C18" s="11">
        <v>335</v>
      </c>
      <c r="D18" s="11">
        <v>256</v>
      </c>
      <c r="E18" s="13" t="s">
        <v>30</v>
      </c>
      <c r="F18" s="14">
        <v>4.8e-5</v>
      </c>
      <c r="G18" s="11">
        <v>62</v>
      </c>
      <c r="H18" s="11">
        <f t="shared" si="0"/>
        <v>-4.31875876262441</v>
      </c>
      <c r="I18" s="11">
        <v>286</v>
      </c>
      <c r="J18" s="11">
        <v>360</v>
      </c>
      <c r="K18" s="11">
        <v>1372</v>
      </c>
      <c r="L18" s="11">
        <v>0.14</v>
      </c>
      <c r="M18" s="16">
        <v>0.017</v>
      </c>
      <c r="N18" s="11">
        <v>167.7</v>
      </c>
      <c r="O18" s="11">
        <v>1</v>
      </c>
    </row>
    <row r="19" spans="1:15">
      <c r="A19" s="11" t="s">
        <v>25</v>
      </c>
      <c r="B19" s="12">
        <v>44982</v>
      </c>
      <c r="C19" s="11"/>
      <c r="D19" s="11">
        <v>0</v>
      </c>
      <c r="E19" s="13" t="s">
        <v>31</v>
      </c>
      <c r="F19" s="14">
        <v>6.3e-5</v>
      </c>
      <c r="G19" s="11">
        <v>42</v>
      </c>
      <c r="H19" s="11">
        <f t="shared" si="0"/>
        <v>-4.20065945054642</v>
      </c>
      <c r="I19" s="11">
        <v>360</v>
      </c>
      <c r="J19" s="11">
        <v>360</v>
      </c>
      <c r="K19" s="11">
        <v>920</v>
      </c>
      <c r="L19" s="11"/>
      <c r="M19" s="15">
        <v>0</v>
      </c>
      <c r="N19" s="11">
        <v>129.8</v>
      </c>
      <c r="O19" s="11">
        <v>1</v>
      </c>
    </row>
    <row r="20" spans="1:15">
      <c r="A20" s="11" t="s">
        <v>32</v>
      </c>
      <c r="B20" s="12">
        <v>40610</v>
      </c>
      <c r="C20" s="11">
        <v>415</v>
      </c>
      <c r="D20" s="11">
        <v>0</v>
      </c>
      <c r="E20" s="13" t="s">
        <v>33</v>
      </c>
      <c r="F20" s="14">
        <v>3.7e-5</v>
      </c>
      <c r="G20" s="11">
        <v>48</v>
      </c>
      <c r="H20" s="11">
        <f t="shared" si="0"/>
        <v>-4.43179827593301</v>
      </c>
      <c r="I20" s="11">
        <v>51</v>
      </c>
      <c r="J20" s="11">
        <v>360</v>
      </c>
      <c r="K20" s="11">
        <v>1980</v>
      </c>
      <c r="L20" s="11">
        <v>2e-5</v>
      </c>
      <c r="M20" s="15">
        <v>0</v>
      </c>
      <c r="N20" s="11">
        <v>166.7</v>
      </c>
      <c r="O20" s="11">
        <v>1</v>
      </c>
    </row>
    <row r="21" spans="1:15">
      <c r="A21" s="11" t="s">
        <v>32</v>
      </c>
      <c r="B21" s="12">
        <v>40701</v>
      </c>
      <c r="C21" s="11">
        <v>3096</v>
      </c>
      <c r="D21" s="11">
        <v>28</v>
      </c>
      <c r="E21" s="13" t="s">
        <v>34</v>
      </c>
      <c r="F21" s="14">
        <v>2.5e-5</v>
      </c>
      <c r="G21" s="11">
        <v>53</v>
      </c>
      <c r="H21" s="11">
        <f t="shared" si="0"/>
        <v>-4.60205999132796</v>
      </c>
      <c r="I21" s="11">
        <v>360</v>
      </c>
      <c r="J21" s="11">
        <v>360</v>
      </c>
      <c r="K21" s="11">
        <v>1400</v>
      </c>
      <c r="L21" s="11">
        <v>0.00025</v>
      </c>
      <c r="M21" s="16">
        <v>0.0091</v>
      </c>
      <c r="N21" s="11">
        <v>96.4</v>
      </c>
      <c r="O21" s="11">
        <v>1</v>
      </c>
    </row>
    <row r="22" spans="1:15">
      <c r="A22" s="11" t="s">
        <v>32</v>
      </c>
      <c r="B22" s="12">
        <v>40759</v>
      </c>
      <c r="C22" s="11">
        <v>2205</v>
      </c>
      <c r="D22" s="11">
        <v>0</v>
      </c>
      <c r="E22" s="13" t="s">
        <v>35</v>
      </c>
      <c r="F22" s="14">
        <v>9.3e-5</v>
      </c>
      <c r="G22" s="11">
        <v>39</v>
      </c>
      <c r="H22" s="11">
        <f t="shared" si="0"/>
        <v>-4.03151705144607</v>
      </c>
      <c r="I22" s="11">
        <v>360</v>
      </c>
      <c r="J22" s="11">
        <v>360</v>
      </c>
      <c r="K22" s="11">
        <v>1950</v>
      </c>
      <c r="L22" s="11">
        <v>6e-5</v>
      </c>
      <c r="M22" s="16">
        <v>0</v>
      </c>
      <c r="N22" s="11">
        <v>116.3</v>
      </c>
      <c r="O22" s="11">
        <v>1</v>
      </c>
    </row>
    <row r="23" spans="1:15">
      <c r="A23" s="11" t="s">
        <v>32</v>
      </c>
      <c r="B23" s="12">
        <v>40764</v>
      </c>
      <c r="C23" s="11">
        <v>230</v>
      </c>
      <c r="D23" s="11">
        <v>0</v>
      </c>
      <c r="E23" s="13" t="s">
        <v>36</v>
      </c>
      <c r="F23" s="14">
        <v>0.00069</v>
      </c>
      <c r="G23" s="11">
        <v>69</v>
      </c>
      <c r="H23" s="11">
        <f t="shared" si="0"/>
        <v>-3.16115090926274</v>
      </c>
      <c r="I23" s="11">
        <v>360</v>
      </c>
      <c r="J23" s="11">
        <v>360</v>
      </c>
      <c r="K23" s="11">
        <v>1175</v>
      </c>
      <c r="L23" s="11">
        <v>4</v>
      </c>
      <c r="M23" s="16">
        <v>0.004</v>
      </c>
      <c r="N23" s="11">
        <v>152.7</v>
      </c>
      <c r="O23" s="11">
        <v>1</v>
      </c>
    </row>
    <row r="24" spans="1:15">
      <c r="A24" s="11" t="s">
        <v>32</v>
      </c>
      <c r="B24" s="12">
        <v>40931</v>
      </c>
      <c r="C24" s="11">
        <v>35</v>
      </c>
      <c r="D24" s="11">
        <v>0</v>
      </c>
      <c r="E24" s="13" t="s">
        <v>37</v>
      </c>
      <c r="F24" s="14">
        <v>8.7e-5</v>
      </c>
      <c r="G24" s="11">
        <v>20</v>
      </c>
      <c r="H24" s="11">
        <f t="shared" si="0"/>
        <v>-4.06048074738138</v>
      </c>
      <c r="I24" s="11">
        <v>360</v>
      </c>
      <c r="J24" s="11">
        <v>360</v>
      </c>
      <c r="K24" s="11">
        <v>2211</v>
      </c>
      <c r="L24" s="11">
        <v>0</v>
      </c>
      <c r="M24" s="15">
        <v>0</v>
      </c>
      <c r="N24" s="11">
        <v>144.3</v>
      </c>
      <c r="O24" s="11">
        <v>1</v>
      </c>
    </row>
    <row r="25" spans="1:15">
      <c r="A25" s="11" t="s">
        <v>32</v>
      </c>
      <c r="B25" s="12">
        <v>40935</v>
      </c>
      <c r="C25" s="11">
        <v>370</v>
      </c>
      <c r="D25" s="11">
        <v>102</v>
      </c>
      <c r="E25" s="13" t="s">
        <v>38</v>
      </c>
      <c r="F25" s="14">
        <v>0.00018</v>
      </c>
      <c r="G25" s="11">
        <v>90</v>
      </c>
      <c r="H25" s="11">
        <f t="shared" si="0"/>
        <v>-3.74472749489669</v>
      </c>
      <c r="I25" s="11">
        <v>360</v>
      </c>
      <c r="J25" s="11">
        <v>360</v>
      </c>
      <c r="K25" s="11">
        <v>2200</v>
      </c>
      <c r="L25" s="11">
        <v>0.15</v>
      </c>
      <c r="M25" s="16">
        <v>0.016</v>
      </c>
      <c r="N25" s="11">
        <v>118.8</v>
      </c>
      <c r="O25" s="11">
        <v>1</v>
      </c>
    </row>
    <row r="26" spans="1:15">
      <c r="A26" s="11" t="s">
        <v>32</v>
      </c>
      <c r="B26" s="12">
        <v>40981</v>
      </c>
      <c r="C26" s="11">
        <v>155</v>
      </c>
      <c r="D26" s="11">
        <v>187</v>
      </c>
      <c r="E26" s="13" t="s">
        <v>39</v>
      </c>
      <c r="F26" s="14">
        <v>7.9e-5</v>
      </c>
      <c r="G26" s="11">
        <v>59</v>
      </c>
      <c r="H26" s="11">
        <f t="shared" si="0"/>
        <v>-4.10237290870956</v>
      </c>
      <c r="I26" s="11">
        <v>360</v>
      </c>
      <c r="J26" s="11">
        <v>360</v>
      </c>
      <c r="K26" s="11">
        <v>2250</v>
      </c>
      <c r="L26" s="11">
        <v>1e-6</v>
      </c>
      <c r="M26" s="16">
        <v>0.0157</v>
      </c>
      <c r="N26" s="11">
        <v>140.7</v>
      </c>
      <c r="O26" s="11">
        <v>1</v>
      </c>
    </row>
    <row r="27" spans="1:15">
      <c r="A27" s="17" t="s">
        <v>32</v>
      </c>
      <c r="B27" s="18">
        <v>41097</v>
      </c>
      <c r="C27" s="17">
        <v>225</v>
      </c>
      <c r="D27" s="17">
        <v>0</v>
      </c>
      <c r="E27" s="19" t="s">
        <v>40</v>
      </c>
      <c r="F27" s="20">
        <v>0.00011</v>
      </c>
      <c r="G27" s="17">
        <v>50</v>
      </c>
      <c r="H27" s="17">
        <f t="shared" si="0"/>
        <v>-3.95860731484177</v>
      </c>
      <c r="I27" s="17">
        <v>278</v>
      </c>
      <c r="J27" s="17">
        <v>360</v>
      </c>
      <c r="K27" s="17">
        <v>1200</v>
      </c>
      <c r="L27" s="17">
        <v>0.02</v>
      </c>
      <c r="M27" s="21">
        <v>0</v>
      </c>
      <c r="N27" s="17">
        <v>158.4</v>
      </c>
      <c r="O27" s="17">
        <v>1</v>
      </c>
    </row>
    <row r="28" spans="1:15">
      <c r="A28" s="17" t="s">
        <v>32</v>
      </c>
      <c r="B28" s="18">
        <v>41113</v>
      </c>
      <c r="C28" s="17">
        <v>360</v>
      </c>
      <c r="D28" s="17">
        <v>0</v>
      </c>
      <c r="E28" s="19"/>
      <c r="F28" s="20"/>
      <c r="G28" s="17"/>
      <c r="H28" s="17"/>
      <c r="I28" s="17">
        <v>214</v>
      </c>
      <c r="J28" s="17">
        <v>360</v>
      </c>
      <c r="K28" s="17">
        <v>2395</v>
      </c>
      <c r="L28" s="17">
        <v>1.5e-5</v>
      </c>
      <c r="M28" s="21">
        <v>0</v>
      </c>
      <c r="N28" s="17">
        <v>96.7</v>
      </c>
      <c r="O28" s="17">
        <v>1</v>
      </c>
    </row>
    <row r="29" spans="1:15">
      <c r="A29" s="17" t="s">
        <v>32</v>
      </c>
      <c r="B29" s="18">
        <v>41180</v>
      </c>
      <c r="C29" s="17">
        <v>205</v>
      </c>
      <c r="D29" s="17">
        <v>0</v>
      </c>
      <c r="E29" s="19" t="s">
        <v>41</v>
      </c>
      <c r="F29" s="20">
        <v>3.7e-6</v>
      </c>
      <c r="G29" s="17">
        <v>26</v>
      </c>
      <c r="H29" s="17">
        <f t="shared" si="0"/>
        <v>-5.43179827593301</v>
      </c>
      <c r="I29" s="17">
        <v>360</v>
      </c>
      <c r="J29" s="17">
        <v>360</v>
      </c>
      <c r="K29" s="17">
        <v>1252</v>
      </c>
      <c r="L29" s="17">
        <v>0.25</v>
      </c>
      <c r="M29" s="21">
        <v>0</v>
      </c>
      <c r="N29" s="17">
        <v>154.1</v>
      </c>
      <c r="O29" s="17">
        <v>1</v>
      </c>
    </row>
    <row r="30" spans="1:15">
      <c r="A30" s="17" t="s">
        <v>32</v>
      </c>
      <c r="B30" s="18">
        <v>41416</v>
      </c>
      <c r="C30" s="17">
        <v>990</v>
      </c>
      <c r="D30" s="17">
        <v>0</v>
      </c>
      <c r="E30" s="19" t="s">
        <v>42</v>
      </c>
      <c r="F30" s="20">
        <v>5e-5</v>
      </c>
      <c r="G30" s="17">
        <v>75</v>
      </c>
      <c r="H30" s="17">
        <f t="shared" si="0"/>
        <v>-4.30102999566398</v>
      </c>
      <c r="I30" s="17">
        <v>308</v>
      </c>
      <c r="J30" s="17">
        <v>360</v>
      </c>
      <c r="K30" s="17">
        <v>1756</v>
      </c>
      <c r="L30" s="17">
        <v>0.15</v>
      </c>
      <c r="M30" s="21">
        <v>0</v>
      </c>
      <c r="N30" s="17">
        <v>131.2</v>
      </c>
      <c r="O30" s="17">
        <v>1</v>
      </c>
    </row>
    <row r="31" spans="1:15">
      <c r="A31" s="17" t="s">
        <v>32</v>
      </c>
      <c r="B31" s="18">
        <v>41547</v>
      </c>
      <c r="C31" s="17">
        <v>1180</v>
      </c>
      <c r="D31" s="17">
        <v>0</v>
      </c>
      <c r="E31" s="19" t="s">
        <v>43</v>
      </c>
      <c r="F31" s="20">
        <v>1.2e-6</v>
      </c>
      <c r="G31" s="17">
        <v>33</v>
      </c>
      <c r="H31" s="17">
        <f t="shared" si="0"/>
        <v>-5.92081875395237</v>
      </c>
      <c r="I31" s="17">
        <v>75</v>
      </c>
      <c r="J31" s="17">
        <v>360</v>
      </c>
      <c r="K31" s="17">
        <v>1100</v>
      </c>
      <c r="L31" s="17">
        <v>0.06</v>
      </c>
      <c r="M31" s="21">
        <v>0</v>
      </c>
      <c r="N31" s="17">
        <v>145</v>
      </c>
      <c r="O31" s="17">
        <v>1</v>
      </c>
    </row>
    <row r="32" spans="1:15">
      <c r="A32" s="17" t="s">
        <v>32</v>
      </c>
      <c r="B32" s="18">
        <v>41695</v>
      </c>
      <c r="C32" s="17">
        <v>1220</v>
      </c>
      <c r="D32" s="17">
        <v>0</v>
      </c>
      <c r="E32" s="19" t="s">
        <v>44</v>
      </c>
      <c r="F32" s="20">
        <v>0.00049</v>
      </c>
      <c r="G32" s="17">
        <v>-77</v>
      </c>
      <c r="H32" s="17">
        <f t="shared" si="0"/>
        <v>-3.30980391997149</v>
      </c>
      <c r="I32" s="17">
        <v>360</v>
      </c>
      <c r="J32" s="17">
        <v>360</v>
      </c>
      <c r="K32" s="17">
        <v>1670</v>
      </c>
      <c r="L32" s="17">
        <v>0.1</v>
      </c>
      <c r="M32" s="21">
        <v>0</v>
      </c>
      <c r="N32" s="17">
        <v>191.9</v>
      </c>
      <c r="O32" s="17">
        <v>1</v>
      </c>
    </row>
    <row r="33" spans="1:15">
      <c r="A33" s="17" t="s">
        <v>32</v>
      </c>
      <c r="B33" s="18">
        <v>41747</v>
      </c>
      <c r="C33" s="17">
        <v>790</v>
      </c>
      <c r="D33" s="17">
        <v>0</v>
      </c>
      <c r="E33" s="19" t="s">
        <v>45</v>
      </c>
      <c r="F33" s="20">
        <v>7.3e-5</v>
      </c>
      <c r="G33" s="17">
        <v>29</v>
      </c>
      <c r="H33" s="17">
        <f t="shared" si="0"/>
        <v>-4.13667713987954</v>
      </c>
      <c r="I33" s="17">
        <v>360</v>
      </c>
      <c r="J33" s="17">
        <v>360</v>
      </c>
      <c r="K33" s="17">
        <v>1244</v>
      </c>
      <c r="L33" s="17">
        <v>0.15</v>
      </c>
      <c r="M33" s="21">
        <v>0</v>
      </c>
      <c r="N33" s="17">
        <v>217.9</v>
      </c>
      <c r="O33" s="17">
        <v>1</v>
      </c>
    </row>
    <row r="34" spans="1:15">
      <c r="A34" s="17" t="s">
        <v>32</v>
      </c>
      <c r="B34" s="18">
        <v>41893</v>
      </c>
      <c r="C34" s="17">
        <v>2180</v>
      </c>
      <c r="D34" s="17">
        <v>2000</v>
      </c>
      <c r="E34" s="19" t="s">
        <v>46</v>
      </c>
      <c r="F34" s="20">
        <v>0.00016</v>
      </c>
      <c r="G34" s="17">
        <v>-5</v>
      </c>
      <c r="H34" s="17">
        <f t="shared" si="0"/>
        <v>-3.79588001734407</v>
      </c>
      <c r="I34" s="17">
        <v>360</v>
      </c>
      <c r="J34" s="17">
        <v>360</v>
      </c>
      <c r="K34" s="17">
        <v>1400</v>
      </c>
      <c r="L34" s="17">
        <v>0.1</v>
      </c>
      <c r="M34" s="22">
        <v>0.059</v>
      </c>
      <c r="N34" s="17">
        <v>159.1</v>
      </c>
      <c r="O34" s="17">
        <v>1</v>
      </c>
    </row>
    <row r="35" spans="1:15">
      <c r="A35" s="17" t="s">
        <v>32</v>
      </c>
      <c r="B35" s="18">
        <v>42306</v>
      </c>
      <c r="C35" s="17">
        <v>415</v>
      </c>
      <c r="D35" s="17">
        <v>0</v>
      </c>
      <c r="E35" s="19"/>
      <c r="F35" s="20"/>
      <c r="G35" s="17">
        <v>37</v>
      </c>
      <c r="H35" s="17"/>
      <c r="I35" s="17">
        <v>259</v>
      </c>
      <c r="J35" s="17">
        <v>202</v>
      </c>
      <c r="K35" s="17">
        <v>535</v>
      </c>
      <c r="L35" s="17"/>
      <c r="M35" s="21">
        <v>0</v>
      </c>
      <c r="N35" s="17">
        <v>140.7</v>
      </c>
      <c r="O35" s="17">
        <v>1</v>
      </c>
    </row>
    <row r="36" spans="1:15">
      <c r="A36" s="5" t="s">
        <v>14</v>
      </c>
      <c r="B36" s="23">
        <v>41073</v>
      </c>
      <c r="C36" s="3">
        <v>2825</v>
      </c>
      <c r="D36" s="3">
        <v>0</v>
      </c>
      <c r="E36" s="5" t="s">
        <v>47</v>
      </c>
      <c r="F36" s="6">
        <v>1.2e-5</v>
      </c>
      <c r="G36" s="5">
        <v>-21</v>
      </c>
      <c r="H36" s="3">
        <f t="shared" ref="H35:H65" si="1">LOG10(F36)</f>
        <v>-4.92081875395237</v>
      </c>
      <c r="I36" s="5"/>
      <c r="J36" s="5">
        <v>118</v>
      </c>
      <c r="K36" s="5">
        <v>643</v>
      </c>
      <c r="L36" s="5"/>
      <c r="M36" s="24">
        <v>0</v>
      </c>
      <c r="N36" s="3"/>
      <c r="O36" s="3">
        <v>0</v>
      </c>
    </row>
    <row r="37" spans="1:15">
      <c r="A37" s="5" t="s">
        <v>14</v>
      </c>
      <c r="B37" s="23">
        <v>41432</v>
      </c>
      <c r="C37" s="23"/>
      <c r="D37" s="23"/>
      <c r="E37" s="5" t="s">
        <v>48</v>
      </c>
      <c r="F37" s="6">
        <v>5.9e-5</v>
      </c>
      <c r="G37" s="5">
        <v>85</v>
      </c>
      <c r="H37" s="3">
        <f t="shared" si="1"/>
        <v>-4.22914798835786</v>
      </c>
      <c r="I37" s="5"/>
      <c r="J37" s="5">
        <v>360</v>
      </c>
      <c r="K37" s="5">
        <v>704</v>
      </c>
      <c r="L37" s="5"/>
      <c r="M37" s="24">
        <v>0</v>
      </c>
      <c r="N37" s="3"/>
      <c r="O37" s="3">
        <v>0</v>
      </c>
    </row>
    <row r="38" spans="1:15">
      <c r="A38" s="5" t="s">
        <v>14</v>
      </c>
      <c r="B38" s="23">
        <v>41852</v>
      </c>
      <c r="C38" s="3">
        <v>602</v>
      </c>
      <c r="D38" s="3">
        <v>0</v>
      </c>
      <c r="E38" s="5" t="s">
        <v>49</v>
      </c>
      <c r="F38" s="6">
        <v>1.5e-5</v>
      </c>
      <c r="G38" s="5">
        <v>-13</v>
      </c>
      <c r="H38" s="3">
        <f t="shared" si="1"/>
        <v>-4.82390874094432</v>
      </c>
      <c r="I38" s="3">
        <v>360</v>
      </c>
      <c r="J38" s="5">
        <v>360</v>
      </c>
      <c r="K38" s="5">
        <v>709</v>
      </c>
      <c r="L38" s="3">
        <v>0.00015</v>
      </c>
      <c r="M38" s="8">
        <v>0</v>
      </c>
      <c r="N38" s="3">
        <v>168.4</v>
      </c>
      <c r="O38" s="3">
        <v>0</v>
      </c>
    </row>
    <row r="39" spans="1:15">
      <c r="A39" s="5" t="s">
        <v>14</v>
      </c>
      <c r="B39" s="23">
        <v>41936</v>
      </c>
      <c r="C39" s="3">
        <v>28</v>
      </c>
      <c r="D39" s="3">
        <v>0</v>
      </c>
      <c r="E39" s="5" t="s">
        <v>28</v>
      </c>
      <c r="F39" s="6">
        <v>4e-5</v>
      </c>
      <c r="G39" s="5">
        <v>5</v>
      </c>
      <c r="H39" s="3">
        <f t="shared" si="1"/>
        <v>-4.39794000867204</v>
      </c>
      <c r="I39" s="5">
        <v>152</v>
      </c>
      <c r="J39" s="5">
        <v>96</v>
      </c>
      <c r="K39" s="5">
        <v>728</v>
      </c>
      <c r="L39" s="3">
        <v>0.0089</v>
      </c>
      <c r="M39" s="8">
        <v>0</v>
      </c>
      <c r="N39" s="3">
        <v>199</v>
      </c>
      <c r="O39" s="3">
        <v>0</v>
      </c>
    </row>
    <row r="40" spans="1:15">
      <c r="A40" s="5" t="s">
        <v>14</v>
      </c>
      <c r="B40" s="23">
        <v>41949</v>
      </c>
      <c r="C40" s="23"/>
      <c r="D40" s="23"/>
      <c r="E40" s="5" t="s">
        <v>50</v>
      </c>
      <c r="F40" s="6">
        <v>5.4e-5</v>
      </c>
      <c r="G40" s="5">
        <v>-53</v>
      </c>
      <c r="H40" s="3">
        <f t="shared" si="1"/>
        <v>-4.26760624017703</v>
      </c>
      <c r="I40" s="5"/>
      <c r="J40" s="5">
        <v>210</v>
      </c>
      <c r="K40" s="5">
        <v>662</v>
      </c>
      <c r="L40" s="5"/>
      <c r="M40" s="24">
        <v>0</v>
      </c>
      <c r="N40" s="3"/>
      <c r="O40" s="3">
        <v>0</v>
      </c>
    </row>
    <row r="41" spans="1:15">
      <c r="A41" s="5" t="s">
        <v>14</v>
      </c>
      <c r="B41" s="23">
        <v>41950</v>
      </c>
      <c r="C41" s="3">
        <v>21</v>
      </c>
      <c r="D41" s="3">
        <v>0</v>
      </c>
      <c r="E41" s="5" t="s">
        <v>46</v>
      </c>
      <c r="F41" s="6">
        <v>0.00016</v>
      </c>
      <c r="G41" s="5">
        <v>-35</v>
      </c>
      <c r="H41" s="3">
        <f t="shared" si="1"/>
        <v>-3.79588001734407</v>
      </c>
      <c r="I41" s="5">
        <v>305</v>
      </c>
      <c r="J41" s="5">
        <v>293</v>
      </c>
      <c r="K41" s="5">
        <v>802</v>
      </c>
      <c r="L41" s="3">
        <v>0.0078</v>
      </c>
      <c r="M41" s="8">
        <v>0</v>
      </c>
      <c r="N41" s="3">
        <v>132</v>
      </c>
      <c r="O41" s="3">
        <v>0</v>
      </c>
    </row>
    <row r="42" spans="1:15">
      <c r="A42" s="5" t="s">
        <v>14</v>
      </c>
      <c r="B42" s="23">
        <v>41990</v>
      </c>
      <c r="C42" s="3">
        <v>9</v>
      </c>
      <c r="D42" s="3">
        <v>0</v>
      </c>
      <c r="E42" s="5" t="s">
        <v>37</v>
      </c>
      <c r="F42" s="6">
        <v>8.7e-5</v>
      </c>
      <c r="G42" s="5">
        <v>-8</v>
      </c>
      <c r="H42" s="3">
        <f t="shared" si="1"/>
        <v>-4.06048074738138</v>
      </c>
      <c r="I42" s="3">
        <v>360</v>
      </c>
      <c r="J42" s="5">
        <v>360</v>
      </c>
      <c r="K42" s="5">
        <v>680</v>
      </c>
      <c r="L42" s="3">
        <v>0.0115</v>
      </c>
      <c r="M42" s="8">
        <v>0</v>
      </c>
      <c r="N42" s="3">
        <v>198.5</v>
      </c>
      <c r="O42" s="3">
        <v>0</v>
      </c>
    </row>
    <row r="43" spans="1:15">
      <c r="A43" s="5" t="s">
        <v>14</v>
      </c>
      <c r="B43" s="23">
        <v>41991</v>
      </c>
      <c r="C43" s="3">
        <v>23</v>
      </c>
      <c r="D43" s="3">
        <v>0</v>
      </c>
      <c r="E43" s="5" t="s">
        <v>51</v>
      </c>
      <c r="F43" s="6">
        <v>6.9e-5</v>
      </c>
      <c r="G43" s="5">
        <v>-10</v>
      </c>
      <c r="H43" s="3">
        <f t="shared" si="1"/>
        <v>-4.16115090926274</v>
      </c>
      <c r="I43" s="3">
        <v>360</v>
      </c>
      <c r="J43" s="5">
        <v>360</v>
      </c>
      <c r="K43" s="5">
        <v>1405</v>
      </c>
      <c r="L43" s="3">
        <v>0.0013</v>
      </c>
      <c r="M43" s="8">
        <v>0</v>
      </c>
      <c r="N43" s="3">
        <v>213.2</v>
      </c>
      <c r="O43" s="3">
        <v>0</v>
      </c>
    </row>
    <row r="44" spans="1:15">
      <c r="A44" s="5" t="s">
        <v>14</v>
      </c>
      <c r="B44" s="23">
        <v>42072</v>
      </c>
      <c r="C44" s="3">
        <v>17</v>
      </c>
      <c r="D44" s="3">
        <v>0</v>
      </c>
      <c r="E44" s="5" t="s">
        <v>52</v>
      </c>
      <c r="F44" s="6">
        <v>5.8e-5</v>
      </c>
      <c r="G44" s="5">
        <v>-39</v>
      </c>
      <c r="H44" s="3">
        <f t="shared" si="1"/>
        <v>-4.23657200643706</v>
      </c>
      <c r="I44" s="5">
        <v>360</v>
      </c>
      <c r="J44" s="5">
        <v>360</v>
      </c>
      <c r="K44" s="5">
        <v>1711</v>
      </c>
      <c r="L44" s="3">
        <v>0.0062</v>
      </c>
      <c r="M44" s="8">
        <v>0</v>
      </c>
      <c r="N44" s="3">
        <v>120.9</v>
      </c>
      <c r="O44" s="3">
        <v>0</v>
      </c>
    </row>
    <row r="45" spans="1:15">
      <c r="A45" s="5" t="s">
        <v>14</v>
      </c>
      <c r="B45" s="23">
        <v>42574</v>
      </c>
      <c r="C45" s="23"/>
      <c r="D45" s="23"/>
      <c r="E45" s="5" t="s">
        <v>53</v>
      </c>
      <c r="F45" s="6">
        <v>7.6e-5</v>
      </c>
      <c r="G45" s="5">
        <v>73</v>
      </c>
      <c r="H45" s="3">
        <f t="shared" si="1"/>
        <v>-4.11918640771921</v>
      </c>
      <c r="I45" s="5"/>
      <c r="J45" s="5">
        <v>117</v>
      </c>
      <c r="K45" s="5">
        <v>740</v>
      </c>
      <c r="L45" s="5"/>
      <c r="M45" s="24">
        <v>0</v>
      </c>
      <c r="N45" s="3"/>
      <c r="O45" s="3">
        <v>0</v>
      </c>
    </row>
    <row r="46" spans="1:15">
      <c r="A46" s="5" t="s">
        <v>14</v>
      </c>
      <c r="B46" s="23">
        <v>44501</v>
      </c>
      <c r="C46" s="3">
        <v>21</v>
      </c>
      <c r="D46" s="3">
        <v>0</v>
      </c>
      <c r="E46" s="5" t="s">
        <v>49</v>
      </c>
      <c r="F46" s="6">
        <v>1.5e-5</v>
      </c>
      <c r="G46" s="5">
        <v>48</v>
      </c>
      <c r="H46" s="3">
        <f t="shared" si="1"/>
        <v>-4.82390874094432</v>
      </c>
      <c r="I46" s="5">
        <v>201</v>
      </c>
      <c r="J46" s="5">
        <v>274</v>
      </c>
      <c r="K46" s="5">
        <v>657</v>
      </c>
      <c r="L46" s="3">
        <v>0.0067</v>
      </c>
      <c r="M46" s="8">
        <v>0</v>
      </c>
      <c r="N46" s="3">
        <v>97.6</v>
      </c>
      <c r="O46" s="3">
        <v>0</v>
      </c>
    </row>
    <row r="47" spans="1:15">
      <c r="A47" s="5" t="s">
        <v>14</v>
      </c>
      <c r="B47" s="23">
        <v>44502</v>
      </c>
      <c r="C47" s="3">
        <v>249</v>
      </c>
      <c r="D47" s="3">
        <v>0</v>
      </c>
      <c r="E47" s="5" t="s">
        <v>54</v>
      </c>
      <c r="F47" s="6">
        <v>1.6e-5</v>
      </c>
      <c r="G47" s="5">
        <v>-3</v>
      </c>
      <c r="H47" s="3">
        <f t="shared" si="1"/>
        <v>-4.79588001734407</v>
      </c>
      <c r="I47" s="5">
        <v>360</v>
      </c>
      <c r="J47" s="5">
        <v>360</v>
      </c>
      <c r="K47" s="5">
        <v>1151</v>
      </c>
      <c r="L47" s="3">
        <v>0.00034</v>
      </c>
      <c r="M47" s="8">
        <v>0</v>
      </c>
      <c r="N47" s="3">
        <v>96</v>
      </c>
      <c r="O47" s="3">
        <v>0</v>
      </c>
    </row>
    <row r="48" spans="1:15">
      <c r="A48" s="5" t="s">
        <v>14</v>
      </c>
      <c r="B48" s="23">
        <v>44579</v>
      </c>
      <c r="C48" s="3">
        <v>13</v>
      </c>
      <c r="D48" s="3">
        <v>0</v>
      </c>
      <c r="E48" s="5" t="s">
        <v>49</v>
      </c>
      <c r="F48" s="6">
        <v>1.5e-5</v>
      </c>
      <c r="G48" s="5">
        <v>53</v>
      </c>
      <c r="H48" s="3">
        <f t="shared" si="1"/>
        <v>-4.82390874094432</v>
      </c>
      <c r="I48" s="5">
        <v>294</v>
      </c>
      <c r="J48" s="5">
        <v>153</v>
      </c>
      <c r="K48" s="5">
        <v>962</v>
      </c>
      <c r="L48" s="3">
        <v>0.007</v>
      </c>
      <c r="M48" s="8">
        <v>0</v>
      </c>
      <c r="N48" s="3">
        <v>114.5</v>
      </c>
      <c r="O48" s="3">
        <v>0</v>
      </c>
    </row>
    <row r="49" spans="1:15">
      <c r="A49" s="5" t="s">
        <v>14</v>
      </c>
      <c r="B49" s="23">
        <v>44668</v>
      </c>
      <c r="C49" s="3">
        <v>22</v>
      </c>
      <c r="D49" s="3">
        <v>0</v>
      </c>
      <c r="E49" s="5" t="s">
        <v>40</v>
      </c>
      <c r="F49" s="6">
        <v>0.00011</v>
      </c>
      <c r="G49" s="5">
        <v>-73</v>
      </c>
      <c r="H49" s="3">
        <f t="shared" si="1"/>
        <v>-3.95860731484177</v>
      </c>
      <c r="I49" s="5">
        <v>93</v>
      </c>
      <c r="J49" s="5">
        <v>209</v>
      </c>
      <c r="K49" s="5">
        <v>841</v>
      </c>
      <c r="L49" s="3">
        <v>0.00125</v>
      </c>
      <c r="M49" s="8">
        <v>0</v>
      </c>
      <c r="N49" s="3">
        <v>110.3</v>
      </c>
      <c r="O49" s="3">
        <v>0</v>
      </c>
    </row>
    <row r="50" spans="1:15">
      <c r="A50" s="25" t="s">
        <v>25</v>
      </c>
      <c r="B50" s="26">
        <v>44671</v>
      </c>
      <c r="C50" s="11">
        <v>2</v>
      </c>
      <c r="D50" s="11">
        <v>0</v>
      </c>
      <c r="E50" s="25" t="s">
        <v>55</v>
      </c>
      <c r="F50" s="27">
        <v>0.00022</v>
      </c>
      <c r="G50" s="25">
        <v>101</v>
      </c>
      <c r="H50" s="11">
        <f t="shared" si="1"/>
        <v>-3.65757731917779</v>
      </c>
      <c r="I50" s="25">
        <v>38</v>
      </c>
      <c r="J50" s="25">
        <v>139</v>
      </c>
      <c r="K50" s="25">
        <v>868</v>
      </c>
      <c r="L50" s="11">
        <v>0.012</v>
      </c>
      <c r="M50" s="15">
        <v>0</v>
      </c>
      <c r="N50" s="11">
        <v>164.4</v>
      </c>
      <c r="O50" s="11">
        <v>0</v>
      </c>
    </row>
    <row r="51" spans="1:15">
      <c r="A51" s="25" t="s">
        <v>25</v>
      </c>
      <c r="B51" s="26">
        <v>44680</v>
      </c>
      <c r="C51" s="11">
        <v>44</v>
      </c>
      <c r="D51" s="11">
        <v>0</v>
      </c>
      <c r="E51" s="25" t="s">
        <v>47</v>
      </c>
      <c r="F51" s="27">
        <v>1.2e-5</v>
      </c>
      <c r="G51" s="25">
        <v>39</v>
      </c>
      <c r="H51" s="11">
        <f t="shared" si="1"/>
        <v>-4.92081875395237</v>
      </c>
      <c r="I51" s="25">
        <v>272</v>
      </c>
      <c r="J51" s="25">
        <v>245</v>
      </c>
      <c r="K51" s="25">
        <v>1397</v>
      </c>
      <c r="L51" s="11">
        <v>0.00045</v>
      </c>
      <c r="M51" s="15">
        <v>0</v>
      </c>
      <c r="N51" s="11">
        <v>123.5</v>
      </c>
      <c r="O51" s="11">
        <v>0</v>
      </c>
    </row>
    <row r="52" spans="1:15">
      <c r="A52" s="25" t="s">
        <v>25</v>
      </c>
      <c r="B52" s="26">
        <v>44706</v>
      </c>
      <c r="C52" s="11">
        <v>3</v>
      </c>
      <c r="D52" s="11">
        <v>0</v>
      </c>
      <c r="E52" s="25" t="s">
        <v>56</v>
      </c>
      <c r="F52" s="27">
        <v>1.3e-5</v>
      </c>
      <c r="G52" s="25">
        <v>42</v>
      </c>
      <c r="H52" s="11">
        <f t="shared" si="1"/>
        <v>-4.88605664769316</v>
      </c>
      <c r="I52" s="25">
        <v>134</v>
      </c>
      <c r="J52" s="25">
        <v>360</v>
      </c>
      <c r="K52" s="25">
        <v>929</v>
      </c>
      <c r="L52" s="11">
        <v>0.0125</v>
      </c>
      <c r="M52" s="15">
        <v>0</v>
      </c>
      <c r="N52" s="11">
        <v>101.8</v>
      </c>
      <c r="O52" s="11">
        <v>0</v>
      </c>
    </row>
    <row r="53" spans="1:15">
      <c r="A53" s="25" t="s">
        <v>25</v>
      </c>
      <c r="B53" s="26">
        <v>44790</v>
      </c>
      <c r="C53" s="11">
        <v>11</v>
      </c>
      <c r="D53" s="11">
        <v>0</v>
      </c>
      <c r="E53" s="25" t="s">
        <v>57</v>
      </c>
      <c r="F53" s="27">
        <v>2e-5</v>
      </c>
      <c r="G53" s="25">
        <v>25</v>
      </c>
      <c r="H53" s="11">
        <f t="shared" si="1"/>
        <v>-4.69897000433602</v>
      </c>
      <c r="I53" s="11">
        <v>360</v>
      </c>
      <c r="J53" s="25">
        <v>360</v>
      </c>
      <c r="K53" s="25">
        <v>767</v>
      </c>
      <c r="L53" s="11">
        <v>0.008</v>
      </c>
      <c r="M53" s="15">
        <v>0</v>
      </c>
      <c r="N53" s="11">
        <v>116.5</v>
      </c>
      <c r="O53" s="11">
        <v>0</v>
      </c>
    </row>
    <row r="54" spans="1:15">
      <c r="A54" s="25" t="s">
        <v>25</v>
      </c>
      <c r="B54" s="26">
        <v>44791</v>
      </c>
      <c r="C54" s="11">
        <v>0</v>
      </c>
      <c r="D54" s="11">
        <v>28</v>
      </c>
      <c r="E54" s="25" t="s">
        <v>49</v>
      </c>
      <c r="F54" s="27">
        <v>1.5e-5</v>
      </c>
      <c r="G54" s="25">
        <v>35</v>
      </c>
      <c r="H54" s="11">
        <f t="shared" si="1"/>
        <v>-4.82390874094432</v>
      </c>
      <c r="I54" s="11">
        <v>360</v>
      </c>
      <c r="J54" s="25">
        <v>360</v>
      </c>
      <c r="K54" s="25">
        <v>1076</v>
      </c>
      <c r="L54" s="11">
        <v>0.011</v>
      </c>
      <c r="M54" s="16">
        <v>0.011</v>
      </c>
      <c r="N54" s="11">
        <v>116.5</v>
      </c>
      <c r="O54" s="11">
        <v>0</v>
      </c>
    </row>
    <row r="55" spans="1:15">
      <c r="A55" s="25" t="s">
        <v>25</v>
      </c>
      <c r="B55" s="26">
        <v>44792</v>
      </c>
      <c r="C55" s="11">
        <v>46</v>
      </c>
      <c r="D55" s="11">
        <v>0</v>
      </c>
      <c r="E55" s="25" t="s">
        <v>54</v>
      </c>
      <c r="F55" s="27">
        <v>1.6e-5</v>
      </c>
      <c r="G55" s="25">
        <v>49</v>
      </c>
      <c r="H55" s="11">
        <f t="shared" si="1"/>
        <v>-4.79588001734407</v>
      </c>
      <c r="I55" s="25">
        <v>105</v>
      </c>
      <c r="J55" s="25">
        <v>104</v>
      </c>
      <c r="K55" s="25">
        <v>878</v>
      </c>
      <c r="L55" s="11">
        <v>0.0031</v>
      </c>
      <c r="M55" s="15">
        <v>0</v>
      </c>
      <c r="N55" s="11">
        <v>137.2</v>
      </c>
      <c r="O55" s="11">
        <v>0</v>
      </c>
    </row>
    <row r="56" spans="1:15">
      <c r="A56" s="25" t="s">
        <v>25</v>
      </c>
      <c r="B56" s="26">
        <v>44802</v>
      </c>
      <c r="C56" s="11"/>
      <c r="D56" s="11"/>
      <c r="E56" s="25" t="s">
        <v>58</v>
      </c>
      <c r="F56" s="27">
        <v>3.8e-5</v>
      </c>
      <c r="G56" s="25">
        <v>95</v>
      </c>
      <c r="H56" s="11">
        <f t="shared" si="1"/>
        <v>-4.42021640338319</v>
      </c>
      <c r="I56" s="11"/>
      <c r="J56" s="25">
        <v>193</v>
      </c>
      <c r="K56" s="25">
        <v>949</v>
      </c>
      <c r="L56" s="11"/>
      <c r="M56" s="16">
        <v>0.0064</v>
      </c>
      <c r="N56" s="11"/>
      <c r="O56" s="11">
        <v>0</v>
      </c>
    </row>
    <row r="57" spans="1:15">
      <c r="A57" s="25" t="s">
        <v>25</v>
      </c>
      <c r="B57" s="26">
        <v>44803</v>
      </c>
      <c r="C57" s="11"/>
      <c r="D57" s="11"/>
      <c r="E57" s="25" t="s">
        <v>59</v>
      </c>
      <c r="F57" s="27">
        <v>2.1e-5</v>
      </c>
      <c r="G57" s="25">
        <v>99</v>
      </c>
      <c r="H57" s="11">
        <f t="shared" si="1"/>
        <v>-4.67778070526608</v>
      </c>
      <c r="I57" s="11"/>
      <c r="J57" s="25">
        <v>360</v>
      </c>
      <c r="K57" s="25">
        <v>1378</v>
      </c>
      <c r="L57" s="11"/>
      <c r="M57" s="28">
        <v>0</v>
      </c>
      <c r="N57" s="11"/>
      <c r="O57" s="11">
        <v>0</v>
      </c>
    </row>
    <row r="58" spans="1:15">
      <c r="A58" s="25" t="s">
        <v>25</v>
      </c>
      <c r="B58" s="26">
        <v>44896</v>
      </c>
      <c r="C58" s="26"/>
      <c r="D58" s="26"/>
      <c r="E58" s="25" t="s">
        <v>60</v>
      </c>
      <c r="F58" s="27">
        <v>1e-5</v>
      </c>
      <c r="G58" s="25">
        <v>35</v>
      </c>
      <c r="H58" s="11">
        <f t="shared" si="1"/>
        <v>-5</v>
      </c>
      <c r="I58" s="25"/>
      <c r="J58" s="25">
        <v>115</v>
      </c>
      <c r="K58" s="25">
        <v>1306</v>
      </c>
      <c r="L58" s="25"/>
      <c r="M58" s="28">
        <v>0</v>
      </c>
      <c r="N58" s="11"/>
      <c r="O58" s="11">
        <v>0</v>
      </c>
    </row>
    <row r="59" spans="1:15">
      <c r="A59" s="25" t="s">
        <v>25</v>
      </c>
      <c r="B59" s="26">
        <v>44989</v>
      </c>
      <c r="C59" s="11">
        <v>78</v>
      </c>
      <c r="D59" s="11">
        <v>0</v>
      </c>
      <c r="E59" s="25" t="s">
        <v>61</v>
      </c>
      <c r="F59" s="27">
        <v>5.2e-5</v>
      </c>
      <c r="G59" s="25">
        <v>84</v>
      </c>
      <c r="H59" s="11">
        <f t="shared" si="1"/>
        <v>-4.2839966563652</v>
      </c>
      <c r="I59" s="11">
        <v>360</v>
      </c>
      <c r="J59" s="25">
        <v>360</v>
      </c>
      <c r="K59" s="25">
        <v>894</v>
      </c>
      <c r="L59" s="11">
        <v>0.0011</v>
      </c>
      <c r="M59" s="15">
        <v>0</v>
      </c>
      <c r="N59" s="11">
        <v>190.9</v>
      </c>
      <c r="O59" s="11">
        <v>0</v>
      </c>
    </row>
    <row r="60" spans="1:15">
      <c r="A60" s="25" t="s">
        <v>25</v>
      </c>
      <c r="B60" s="26">
        <v>44991</v>
      </c>
      <c r="C60" s="11">
        <v>0</v>
      </c>
      <c r="D60" s="11">
        <v>16</v>
      </c>
      <c r="E60" s="25" t="s">
        <v>52</v>
      </c>
      <c r="F60" s="27">
        <v>5.8e-5</v>
      </c>
      <c r="G60" s="25">
        <v>65</v>
      </c>
      <c r="H60" s="11">
        <f t="shared" si="1"/>
        <v>-4.23657200643706</v>
      </c>
      <c r="I60" s="11">
        <v>360</v>
      </c>
      <c r="J60" s="25">
        <v>360</v>
      </c>
      <c r="K60" s="25">
        <v>970</v>
      </c>
      <c r="L60" s="11">
        <v>0.0114</v>
      </c>
      <c r="M60" s="15">
        <v>0</v>
      </c>
      <c r="N60" s="11">
        <v>188</v>
      </c>
      <c r="O60" s="11">
        <v>0</v>
      </c>
    </row>
    <row r="61" spans="1:15">
      <c r="A61" s="29" t="s">
        <v>32</v>
      </c>
      <c r="B61" s="18">
        <v>40672</v>
      </c>
      <c r="C61" s="17">
        <v>990</v>
      </c>
      <c r="D61" s="17">
        <v>0</v>
      </c>
      <c r="E61" s="29" t="s">
        <v>62</v>
      </c>
      <c r="F61" s="30">
        <v>5.4e-6</v>
      </c>
      <c r="G61" s="29">
        <v>-88</v>
      </c>
      <c r="H61" s="17">
        <f t="shared" si="1"/>
        <v>-5.26760624017703</v>
      </c>
      <c r="I61" s="29">
        <v>107</v>
      </c>
      <c r="J61" s="29">
        <v>292</v>
      </c>
      <c r="K61" s="29">
        <v>776</v>
      </c>
      <c r="L61" s="17">
        <v>9e-5</v>
      </c>
      <c r="M61" s="21">
        <v>0</v>
      </c>
      <c r="N61" s="17">
        <v>110.8</v>
      </c>
      <c r="O61" s="17">
        <v>0</v>
      </c>
    </row>
    <row r="62" spans="1:15">
      <c r="A62" s="29" t="s">
        <v>32</v>
      </c>
      <c r="B62" s="18">
        <v>40972</v>
      </c>
      <c r="C62" s="17">
        <v>0</v>
      </c>
      <c r="D62" s="17">
        <v>80</v>
      </c>
      <c r="E62" s="29" t="s">
        <v>57</v>
      </c>
      <c r="F62" s="30">
        <v>2e-5</v>
      </c>
      <c r="G62" s="29">
        <v>-65</v>
      </c>
      <c r="H62" s="17">
        <f t="shared" si="1"/>
        <v>-4.69897000433602</v>
      </c>
      <c r="I62" s="29">
        <v>360</v>
      </c>
      <c r="J62" s="29">
        <v>360</v>
      </c>
      <c r="K62" s="29">
        <v>1540</v>
      </c>
      <c r="L62" s="17">
        <v>0.003771403</v>
      </c>
      <c r="M62" s="22">
        <v>0.004</v>
      </c>
      <c r="N62" s="17">
        <v>120.1</v>
      </c>
      <c r="O62" s="17">
        <v>0</v>
      </c>
    </row>
    <row r="63" spans="1:15">
      <c r="A63" s="29" t="s">
        <v>32</v>
      </c>
      <c r="B63" s="18">
        <v>40973</v>
      </c>
      <c r="C63" s="17">
        <v>0</v>
      </c>
      <c r="D63" s="17">
        <v>77</v>
      </c>
      <c r="E63" s="29" t="s">
        <v>40</v>
      </c>
      <c r="F63" s="30">
        <v>0.00011</v>
      </c>
      <c r="G63" s="29">
        <v>-58</v>
      </c>
      <c r="H63" s="17">
        <f t="shared" si="1"/>
        <v>-3.95860731484177</v>
      </c>
      <c r="I63" s="29">
        <v>360</v>
      </c>
      <c r="J63" s="29">
        <v>360</v>
      </c>
      <c r="K63" s="29">
        <v>1363</v>
      </c>
      <c r="L63" s="17">
        <v>0.0087</v>
      </c>
      <c r="M63" s="22">
        <v>0.0087</v>
      </c>
      <c r="N63" s="17">
        <v>131.6</v>
      </c>
      <c r="O63" s="17">
        <v>0</v>
      </c>
    </row>
    <row r="64" spans="1:15">
      <c r="A64" s="29" t="s">
        <v>32</v>
      </c>
      <c r="B64" s="18">
        <v>41089</v>
      </c>
      <c r="C64" s="18"/>
      <c r="D64" s="18"/>
      <c r="E64" s="29" t="s">
        <v>63</v>
      </c>
      <c r="F64" s="30">
        <v>2.2e-5</v>
      </c>
      <c r="G64" s="29">
        <v>-38</v>
      </c>
      <c r="H64" s="17">
        <f t="shared" si="1"/>
        <v>-4.65757731917779</v>
      </c>
      <c r="I64" s="29"/>
      <c r="J64" s="29">
        <v>49</v>
      </c>
      <c r="K64" s="29">
        <v>1344</v>
      </c>
      <c r="L64" s="29"/>
      <c r="M64" s="31">
        <v>0</v>
      </c>
      <c r="N64" s="17"/>
      <c r="O64" s="17">
        <v>0</v>
      </c>
    </row>
    <row r="65" spans="1:15">
      <c r="A65" s="29" t="s">
        <v>32</v>
      </c>
      <c r="B65" s="18">
        <v>41453</v>
      </c>
      <c r="C65" s="17">
        <v>93</v>
      </c>
      <c r="D65" s="17">
        <v>0</v>
      </c>
      <c r="E65" s="29" t="s">
        <v>64</v>
      </c>
      <c r="F65" s="30">
        <v>4.4e-6</v>
      </c>
      <c r="G65" s="29">
        <v>19</v>
      </c>
      <c r="H65" s="17">
        <f t="shared" si="1"/>
        <v>-5.35654732351381</v>
      </c>
      <c r="I65" s="29">
        <v>360</v>
      </c>
      <c r="J65" s="29">
        <v>360</v>
      </c>
      <c r="K65" s="29">
        <v>1200</v>
      </c>
      <c r="L65" s="17">
        <v>0.0004</v>
      </c>
      <c r="M65" s="21">
        <v>0</v>
      </c>
      <c r="N65" s="17">
        <v>101</v>
      </c>
      <c r="O65" s="1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DAYTOY</cp:lastModifiedBy>
  <dcterms:created xsi:type="dcterms:W3CDTF">2026-09-22T12:22:00Z</dcterms:created>
  <dcterms:modified xsi:type="dcterms:W3CDTF">2026-09-23T03:45:45Z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652031A368F44054A9639A0BA5658324_13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